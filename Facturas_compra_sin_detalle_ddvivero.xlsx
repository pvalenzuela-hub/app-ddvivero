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 sin detalle" sheetId="1" state="visible" r:id="rId1"/>
  </sheets>
  <definedNames>
    <definedName name="_xlnm._FilterDatabase" localSheetId="0" hidden="1">'Facturas sin detalle'!$A$7:$M$45</definedName>
    <definedName name="_xlnm.Print_Titles" localSheetId="0">'Facturas sin detalle'!$1:$7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 h:mm:ss"/>
    <numFmt numFmtId="166" formatCode="dd-mm-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305496"/>
      <sz val="10"/>
    </font>
    <font>
      <b val="1"/>
    </font>
    <font>
      <i val="1"/>
      <color rgb="00666666"/>
    </font>
    <font>
      <b val="1"/>
      <color rgb="00FFFFFF"/>
    </font>
    <font>
      <b val="1"/>
      <color rgb="00237245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476B"/>
      </patternFill>
    </fill>
    <fill>
      <patternFill patternType="solid">
        <fgColor rgb="00EDF2F7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/>
    </xf>
    <xf numFmtId="166" fontId="0" fillId="4" borderId="0" applyAlignment="1" pivotButton="0" quotePrefix="0" xfId="0">
      <alignment vertical="center"/>
    </xf>
    <xf numFmtId="49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166" fontId="0" fillId="6" borderId="0" applyAlignment="1" pivotButton="0" quotePrefix="0" xfId="0">
      <alignment vertical="center"/>
    </xf>
    <xf numFmtId="49" fontId="0" fillId="6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7" fillId="6" borderId="0" applyAlignment="1" pivotButton="0" quotePrefix="0" xfId="0">
      <alignment vertical="center"/>
    </xf>
    <xf numFmtId="0" fontId="5" fillId="3" borderId="0" pivotButton="0" quotePrefix="0" xfId="0"/>
    <xf numFmtId="164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5" customWidth="1" min="3" max="3"/>
    <col width="17" customWidth="1" min="4" max="4"/>
    <col width="20" customWidth="1" min="5" max="5"/>
    <col width="52" customWidth="1" min="6" max="6"/>
    <col width="19" customWidth="1" min="7" max="7"/>
    <col width="19" customWidth="1" min="8" max="8"/>
    <col width="17" customWidth="1" min="9" max="9"/>
    <col width="18" customWidth="1" min="10" max="10"/>
    <col width="20" customWidth="1" min="11" max="11"/>
    <col width="23" customWidth="1" min="12" max="12"/>
    <col width="48" customWidth="1" min="13" max="13"/>
  </cols>
  <sheetData>
    <row r="1" ht="35" customHeight="1">
      <c r="A1" s="1" t="inlineStr">
        <is>
          <t>FACTURAS DE COMPRA SIN DETALLE — VIVERO D&amp;D</t>
        </is>
      </c>
    </row>
    <row r="2">
      <c r="A2" s="2" t="inlineStr">
        <is>
          <t>Origen: SQL Server 72.60.59.142 · base ddvivero · encabezados FA sin registros en COMPRA_DETALLE</t>
        </is>
      </c>
    </row>
    <row r="3">
      <c r="A3" s="3" t="inlineStr">
        <is>
          <t>Facturas:</t>
        </is>
      </c>
      <c r="B3" t="n">
        <v>38</v>
      </c>
      <c r="D3" s="3" t="inlineStr">
        <is>
          <t>Pagadas:</t>
        </is>
      </c>
      <c r="E3" t="n">
        <v>30</v>
      </c>
      <c r="F3" s="3" t="inlineStr">
        <is>
          <t>Pendientes:</t>
        </is>
      </c>
      <c r="G3" t="n">
        <v>8</v>
      </c>
      <c r="H3" s="3" t="inlineStr">
        <is>
          <t>Total documentos:</t>
        </is>
      </c>
      <c r="I3" s="4" t="n">
        <v>96192170</v>
      </c>
    </row>
    <row r="5">
      <c r="A5" s="5" t="inlineStr">
        <is>
          <t>Complete las columnas «Revisión digitación» y «Observaciones» después de cotejar cada factura.</t>
        </is>
      </c>
    </row>
    <row r="7" ht="32" customHeight="1">
      <c r="A7" s="6" t="inlineStr">
        <is>
          <t>ID compra</t>
        </is>
      </c>
      <c r="B7" s="6" t="inlineStr">
        <is>
          <t>Tipo</t>
        </is>
      </c>
      <c r="C7" s="6" t="inlineStr">
        <is>
          <t>N° factura</t>
        </is>
      </c>
      <c r="D7" s="6" t="inlineStr">
        <is>
          <t>Fecha factura</t>
        </is>
      </c>
      <c r="E7" s="6" t="inlineStr">
        <is>
          <t>RUT proveedor</t>
        </is>
      </c>
      <c r="F7" s="6" t="inlineStr">
        <is>
          <t>Proveedor</t>
        </is>
      </c>
      <c r="G7" s="6" t="inlineStr">
        <is>
          <t>Total factura</t>
        </is>
      </c>
      <c r="H7" s="6" t="inlineStr">
        <is>
          <t>Total pagado</t>
        </is>
      </c>
      <c r="I7" s="6" t="inlineStr">
        <is>
          <t>Estado pago</t>
        </is>
      </c>
      <c r="J7" s="6" t="inlineStr">
        <is>
          <t>Docs. de pago</t>
        </is>
      </c>
      <c r="K7" s="6" t="inlineStr">
        <is>
          <t>Pagos efectuados</t>
        </is>
      </c>
      <c r="L7" s="6" t="inlineStr">
        <is>
          <t>Revisión digitación</t>
        </is>
      </c>
      <c r="M7" s="6" t="inlineStr">
        <is>
          <t>Observaciones</t>
        </is>
      </c>
    </row>
    <row r="8">
      <c r="A8" s="7" t="n">
        <v>43</v>
      </c>
      <c r="B8" s="7" t="inlineStr">
        <is>
          <t>FA</t>
        </is>
      </c>
      <c r="C8" s="7" t="n">
        <v>13453</v>
      </c>
      <c r="D8" s="8" t="n">
        <v>45447</v>
      </c>
      <c r="E8" s="9" t="inlineStr">
        <is>
          <t>000000760982</t>
        </is>
      </c>
      <c r="F8" s="7" t="inlineStr">
        <is>
          <t>ARMANDO GONZALO EDUARDO SANDOVAL TRONCOSO</t>
        </is>
      </c>
      <c r="G8" s="10" t="n">
        <v>833000</v>
      </c>
      <c r="H8" s="10" t="n">
        <v>833000</v>
      </c>
      <c r="I8" s="11" t="inlineStr">
        <is>
          <t>Pagada</t>
        </is>
      </c>
      <c r="J8" s="7" t="n">
        <v>1</v>
      </c>
      <c r="K8" s="7" t="n">
        <v>1</v>
      </c>
      <c r="L8" s="12" t="n"/>
      <c r="M8" s="12" t="n"/>
    </row>
    <row r="9">
      <c r="A9" s="13" t="n">
        <v>82</v>
      </c>
      <c r="B9" s="13" t="inlineStr">
        <is>
          <t>FA</t>
        </is>
      </c>
      <c r="C9" s="13" t="n">
        <v>13843</v>
      </c>
      <c r="D9" s="14" t="n">
        <v>45503</v>
      </c>
      <c r="E9" s="15" t="inlineStr">
        <is>
          <t>000000760982</t>
        </is>
      </c>
      <c r="F9" s="13" t="inlineStr">
        <is>
          <t>ARMANDO GONZALO EDUARDO SANDOVAL TRONCOSO</t>
        </is>
      </c>
      <c r="G9" s="16" t="n">
        <v>9876048</v>
      </c>
      <c r="H9" s="16" t="n">
        <v>9876048</v>
      </c>
      <c r="I9" s="17" t="inlineStr">
        <is>
          <t>Pagada</t>
        </is>
      </c>
      <c r="J9" s="13" t="n">
        <v>3</v>
      </c>
      <c r="K9" s="13" t="n">
        <v>3</v>
      </c>
      <c r="L9" s="12" t="n"/>
      <c r="M9" s="12" t="n"/>
    </row>
    <row r="10">
      <c r="A10" s="7" t="n">
        <v>60</v>
      </c>
      <c r="B10" s="7" t="inlineStr">
        <is>
          <t>FA</t>
        </is>
      </c>
      <c r="C10" s="7" t="n">
        <v>5157</v>
      </c>
      <c r="D10" s="8" t="n">
        <v>45510</v>
      </c>
      <c r="E10" s="9" t="inlineStr">
        <is>
          <t>000761301292</t>
        </is>
      </c>
      <c r="F10" s="7" t="inlineStr">
        <is>
          <t>CUSTOM SEEDS S.A.</t>
        </is>
      </c>
      <c r="G10" s="10" t="n">
        <v>1666000</v>
      </c>
      <c r="H10" s="10" t="n">
        <v>1666000</v>
      </c>
      <c r="I10" s="11" t="inlineStr">
        <is>
          <t>Pagada</t>
        </is>
      </c>
      <c r="J10" s="7" t="n">
        <v>2</v>
      </c>
      <c r="K10" s="7" t="n">
        <v>2</v>
      </c>
      <c r="L10" s="12" t="n"/>
      <c r="M10" s="12" t="n"/>
    </row>
    <row r="11">
      <c r="A11" s="13" t="n">
        <v>66</v>
      </c>
      <c r="B11" s="13" t="inlineStr">
        <is>
          <t>FA</t>
        </is>
      </c>
      <c r="C11" s="13" t="n">
        <v>388208</v>
      </c>
      <c r="D11" s="14" t="n">
        <v>45510</v>
      </c>
      <c r="E11" s="15" t="inlineStr">
        <is>
          <t>00077505400K</t>
        </is>
      </c>
      <c r="F11" s="13" t="inlineStr">
        <is>
          <t>MALLAS PROTEKTA  LIMITADA</t>
        </is>
      </c>
      <c r="G11" s="16" t="n">
        <v>580000</v>
      </c>
      <c r="H11" s="16" t="n">
        <v>580000</v>
      </c>
      <c r="I11" s="17" t="inlineStr">
        <is>
          <t>Pagada</t>
        </is>
      </c>
      <c r="J11" s="13" t="n">
        <v>1</v>
      </c>
      <c r="K11" s="13" t="n">
        <v>1</v>
      </c>
      <c r="L11" s="12" t="n"/>
      <c r="M11" s="12" t="n"/>
    </row>
    <row r="12">
      <c r="A12" s="7" t="n">
        <v>74</v>
      </c>
      <c r="B12" s="7" t="inlineStr">
        <is>
          <t>FA</t>
        </is>
      </c>
      <c r="C12" s="7" t="n">
        <v>7851</v>
      </c>
      <c r="D12" s="8" t="n">
        <v>45533</v>
      </c>
      <c r="E12" s="9" t="inlineStr">
        <is>
          <t>000786322502</t>
        </is>
      </c>
      <c r="F12" s="7" t="inlineStr">
        <is>
          <t>SOCIEDAD DE INSUMOS AGRICOLAS SAN ALFONSO LIMITADA</t>
        </is>
      </c>
      <c r="G12" s="10" t="n">
        <v>260000</v>
      </c>
      <c r="H12" s="10" t="n">
        <v>260000</v>
      </c>
      <c r="I12" s="11" t="inlineStr">
        <is>
          <t>Pagada</t>
        </is>
      </c>
      <c r="J12" s="7" t="n">
        <v>1</v>
      </c>
      <c r="K12" s="7" t="n">
        <v>1</v>
      </c>
      <c r="L12" s="12" t="n"/>
      <c r="M12" s="12" t="n"/>
    </row>
    <row r="13">
      <c r="A13" s="13" t="n">
        <v>100</v>
      </c>
      <c r="B13" s="13" t="inlineStr">
        <is>
          <t>FA</t>
        </is>
      </c>
      <c r="C13" s="13" t="n">
        <v>5530</v>
      </c>
      <c r="D13" s="14" t="n">
        <v>45566</v>
      </c>
      <c r="E13" s="15" t="inlineStr">
        <is>
          <t>000761301292</t>
        </is>
      </c>
      <c r="F13" s="13" t="inlineStr">
        <is>
          <t>CUSTOM SEEDS S.A.</t>
        </is>
      </c>
      <c r="G13" s="16" t="n">
        <v>624750</v>
      </c>
      <c r="H13" s="16" t="n">
        <v>624750</v>
      </c>
      <c r="I13" s="17" t="inlineStr">
        <is>
          <t>Pagada</t>
        </is>
      </c>
      <c r="J13" s="13" t="n">
        <v>1</v>
      </c>
      <c r="K13" s="13" t="n">
        <v>1</v>
      </c>
      <c r="L13" s="12" t="n"/>
      <c r="M13" s="12" t="n"/>
    </row>
    <row r="14">
      <c r="A14" s="7" t="n">
        <v>136</v>
      </c>
      <c r="B14" s="7" t="inlineStr">
        <is>
          <t>FA</t>
        </is>
      </c>
      <c r="C14" s="7" t="n">
        <v>398626</v>
      </c>
      <c r="D14" s="8" t="n">
        <v>45594</v>
      </c>
      <c r="E14" s="9" t="inlineStr">
        <is>
          <t>00077505400K</t>
        </is>
      </c>
      <c r="F14" s="7" t="inlineStr">
        <is>
          <t>MALLAS PROTEKTA  LIMITADA</t>
        </is>
      </c>
      <c r="G14" s="10" t="n">
        <v>1252832</v>
      </c>
      <c r="H14" s="10" t="n">
        <v>1252832</v>
      </c>
      <c r="I14" s="11" t="inlineStr">
        <is>
          <t>Pagada</t>
        </is>
      </c>
      <c r="J14" s="7" t="n">
        <v>1</v>
      </c>
      <c r="K14" s="7" t="n">
        <v>1</v>
      </c>
      <c r="L14" s="12" t="n"/>
      <c r="M14" s="12" t="n"/>
    </row>
    <row r="15">
      <c r="A15" s="13" t="n">
        <v>125</v>
      </c>
      <c r="B15" s="13" t="inlineStr">
        <is>
          <t>FA</t>
        </is>
      </c>
      <c r="C15" s="13" t="n">
        <v>14479</v>
      </c>
      <c r="D15" s="14" t="n">
        <v>45624</v>
      </c>
      <c r="E15" s="15" t="inlineStr">
        <is>
          <t>000000760982</t>
        </is>
      </c>
      <c r="F15" s="13" t="inlineStr">
        <is>
          <t>ARMANDO GONZALO EDUARDO SANDOVAL TRONCOSO</t>
        </is>
      </c>
      <c r="G15" s="16" t="n">
        <v>5801488</v>
      </c>
      <c r="H15" s="16" t="n">
        <v>5801488</v>
      </c>
      <c r="I15" s="17" t="inlineStr">
        <is>
          <t>Pagada</t>
        </is>
      </c>
      <c r="J15" s="13" t="n">
        <v>1</v>
      </c>
      <c r="K15" s="13" t="n">
        <v>1</v>
      </c>
      <c r="L15" s="12" t="n"/>
      <c r="M15" s="12" t="n"/>
    </row>
    <row r="16">
      <c r="A16" s="7" t="n">
        <v>124</v>
      </c>
      <c r="B16" s="7" t="inlineStr">
        <is>
          <t>FA</t>
        </is>
      </c>
      <c r="C16" s="7" t="n">
        <v>229032</v>
      </c>
      <c r="D16" s="8" t="n">
        <v>45625</v>
      </c>
      <c r="E16" s="9" t="inlineStr">
        <is>
          <t>000933200000</t>
        </is>
      </c>
      <c r="F16" s="7" t="inlineStr">
        <is>
          <t>MARIENBERG SPA</t>
        </is>
      </c>
      <c r="G16" s="10" t="n">
        <v>299880</v>
      </c>
      <c r="H16" s="10" t="n">
        <v>299880</v>
      </c>
      <c r="I16" s="11" t="inlineStr">
        <is>
          <t>Pagada</t>
        </is>
      </c>
      <c r="J16" s="7" t="n">
        <v>1</v>
      </c>
      <c r="K16" s="7" t="n">
        <v>1</v>
      </c>
      <c r="L16" s="12" t="n"/>
      <c r="M16" s="12" t="n"/>
    </row>
    <row r="17">
      <c r="A17" s="13" t="n">
        <v>348</v>
      </c>
      <c r="B17" s="13" t="inlineStr">
        <is>
          <t>FA</t>
        </is>
      </c>
      <c r="C17" s="13" t="n">
        <v>1</v>
      </c>
      <c r="D17" s="14" t="n">
        <v>45776</v>
      </c>
      <c r="E17" s="15" t="inlineStr">
        <is>
          <t>00061603000K</t>
        </is>
      </c>
      <c r="F17" s="13" t="inlineStr">
        <is>
          <t>INSTITUTO DE DESARROLO AGROPECUARIO</t>
        </is>
      </c>
      <c r="G17" s="16" t="n">
        <v>11401110</v>
      </c>
      <c r="H17" s="16" t="n">
        <v>11401110</v>
      </c>
      <c r="I17" s="17" t="inlineStr">
        <is>
          <t>Pagada</t>
        </is>
      </c>
      <c r="J17" s="13" t="n">
        <v>1</v>
      </c>
      <c r="K17" s="13" t="n">
        <v>1</v>
      </c>
      <c r="L17" s="12" t="n"/>
      <c r="M17" s="12" t="n"/>
    </row>
    <row r="18">
      <c r="A18" s="7" t="n">
        <v>185</v>
      </c>
      <c r="B18" s="7" t="inlineStr">
        <is>
          <t>FA</t>
        </is>
      </c>
      <c r="C18" s="7" t="n">
        <v>15016</v>
      </c>
      <c r="D18" s="8" t="n">
        <v>45793</v>
      </c>
      <c r="E18" s="9" t="inlineStr">
        <is>
          <t>000000760982</t>
        </is>
      </c>
      <c r="F18" s="7" t="inlineStr">
        <is>
          <t>ARMANDO GONZALO EDUARDO SANDOVAL TRONCOSO</t>
        </is>
      </c>
      <c r="G18" s="10" t="n">
        <v>4076464</v>
      </c>
      <c r="H18" s="10" t="n">
        <v>4076464</v>
      </c>
      <c r="I18" s="11" t="inlineStr">
        <is>
          <t>Pagada</t>
        </is>
      </c>
      <c r="J18" s="7" t="n">
        <v>2</v>
      </c>
      <c r="K18" s="7" t="n">
        <v>2</v>
      </c>
      <c r="L18" s="12" t="n"/>
      <c r="M18" s="12" t="n"/>
    </row>
    <row r="19">
      <c r="A19" s="13" t="n">
        <v>191</v>
      </c>
      <c r="B19" s="13" t="inlineStr">
        <is>
          <t>FA</t>
        </is>
      </c>
      <c r="C19" s="13" t="n">
        <v>15107</v>
      </c>
      <c r="D19" s="14" t="n">
        <v>45821</v>
      </c>
      <c r="E19" s="15" t="inlineStr">
        <is>
          <t>000000760982</t>
        </is>
      </c>
      <c r="F19" s="13" t="inlineStr">
        <is>
          <t>ARMANDO GONZALO EDUARDO SANDOVAL TRONCOSO</t>
        </is>
      </c>
      <c r="G19" s="16" t="n">
        <v>19593302</v>
      </c>
      <c r="H19" s="16" t="n">
        <v>19593302</v>
      </c>
      <c r="I19" s="17" t="inlineStr">
        <is>
          <t>Pagada</t>
        </is>
      </c>
      <c r="J19" s="13" t="n">
        <v>3</v>
      </c>
      <c r="K19" s="13" t="n">
        <v>3</v>
      </c>
      <c r="L19" s="12" t="n"/>
      <c r="M19" s="12" t="n"/>
    </row>
    <row r="20">
      <c r="A20" s="7" t="n">
        <v>207</v>
      </c>
      <c r="B20" s="7" t="inlineStr">
        <is>
          <t>FA</t>
        </is>
      </c>
      <c r="C20" s="7" t="n">
        <v>6097237</v>
      </c>
      <c r="D20" s="8" t="n">
        <v>45866</v>
      </c>
      <c r="E20" s="9" t="inlineStr">
        <is>
          <t>000812908006</t>
        </is>
      </c>
      <c r="F20" s="7" t="inlineStr">
        <is>
          <t>COPEVAL</t>
        </is>
      </c>
      <c r="G20" s="10" t="n">
        <v>4146587</v>
      </c>
      <c r="H20" s="10" t="n">
        <v>4146587</v>
      </c>
      <c r="I20" s="11" t="inlineStr">
        <is>
          <t>Pagada</t>
        </is>
      </c>
      <c r="J20" s="7" t="n">
        <v>1</v>
      </c>
      <c r="K20" s="7" t="n">
        <v>1</v>
      </c>
      <c r="L20" s="12" t="n"/>
      <c r="M20" s="12" t="n"/>
    </row>
    <row r="21">
      <c r="A21" s="13" t="n">
        <v>241</v>
      </c>
      <c r="B21" s="13" t="inlineStr">
        <is>
          <t>FA</t>
        </is>
      </c>
      <c r="C21" s="13" t="n">
        <v>14903</v>
      </c>
      <c r="D21" s="14" t="n">
        <v>45929</v>
      </c>
      <c r="E21" s="15" t="inlineStr">
        <is>
          <t>000769428704</t>
        </is>
      </c>
      <c r="F21" s="13" t="inlineStr">
        <is>
          <t>RIJK ZWAAN CHILE LTDA</t>
        </is>
      </c>
      <c r="G21" s="16" t="n">
        <v>402934</v>
      </c>
      <c r="H21" s="16" t="n">
        <v>402934</v>
      </c>
      <c r="I21" s="17" t="inlineStr">
        <is>
          <t>Pagada</t>
        </is>
      </c>
      <c r="J21" s="13" t="n">
        <v>1</v>
      </c>
      <c r="K21" s="13" t="n">
        <v>1</v>
      </c>
      <c r="L21" s="12" t="n"/>
      <c r="M21" s="12" t="n"/>
    </row>
    <row r="22">
      <c r="A22" s="7" t="n">
        <v>295</v>
      </c>
      <c r="B22" s="7" t="inlineStr">
        <is>
          <t>FA</t>
        </is>
      </c>
      <c r="C22" s="7" t="n">
        <v>1014</v>
      </c>
      <c r="D22" s="8" t="n">
        <v>46040</v>
      </c>
      <c r="E22" s="9" t="inlineStr">
        <is>
          <t>000769908501</t>
        </is>
      </c>
      <c r="F22" s="7" t="inlineStr">
        <is>
          <t>COMERCIAL AGRA SPA</t>
        </is>
      </c>
      <c r="G22" s="10" t="n">
        <v>1499400</v>
      </c>
      <c r="H22" s="10" t="n">
        <v>1499400</v>
      </c>
      <c r="I22" s="11" t="inlineStr">
        <is>
          <t>Pagada</t>
        </is>
      </c>
      <c r="J22" s="7" t="n">
        <v>2</v>
      </c>
      <c r="K22" s="7" t="n">
        <v>2</v>
      </c>
      <c r="L22" s="12" t="n"/>
      <c r="M22" s="12" t="n"/>
    </row>
    <row r="23">
      <c r="A23" s="13" t="n">
        <v>335</v>
      </c>
      <c r="B23" s="13" t="inlineStr">
        <is>
          <t>FA</t>
        </is>
      </c>
      <c r="C23" s="13" t="n">
        <v>2126413</v>
      </c>
      <c r="D23" s="14" t="n">
        <v>46076</v>
      </c>
      <c r="E23" s="15" t="inlineStr">
        <is>
          <t>000885186009</t>
        </is>
      </c>
      <c r="F23" s="13" t="inlineStr">
        <is>
          <t>JOSE PUERTAS PONS Y CIA</t>
        </is>
      </c>
      <c r="G23" s="16" t="n">
        <v>420000</v>
      </c>
      <c r="H23" s="16" t="n">
        <v>420000</v>
      </c>
      <c r="I23" s="17" t="inlineStr">
        <is>
          <t>Pagada</t>
        </is>
      </c>
      <c r="J23" s="13" t="n">
        <v>1</v>
      </c>
      <c r="K23" s="13" t="n">
        <v>1</v>
      </c>
      <c r="L23" s="12" t="n"/>
      <c r="M23" s="12" t="n"/>
    </row>
    <row r="24">
      <c r="A24" s="7" t="n">
        <v>334</v>
      </c>
      <c r="B24" s="7" t="inlineStr">
        <is>
          <t>FA</t>
        </is>
      </c>
      <c r="C24" s="7" t="n">
        <v>2126423</v>
      </c>
      <c r="D24" s="8" t="n">
        <v>46078</v>
      </c>
      <c r="E24" s="9" t="inlineStr">
        <is>
          <t>000885186009</t>
        </is>
      </c>
      <c r="F24" s="7" t="inlineStr">
        <is>
          <t>JOSE PUERTAS PONS Y CIA</t>
        </is>
      </c>
      <c r="G24" s="10" t="n">
        <v>35600</v>
      </c>
      <c r="H24" s="10" t="n">
        <v>35600</v>
      </c>
      <c r="I24" s="11" t="inlineStr">
        <is>
          <t>Pagada</t>
        </is>
      </c>
      <c r="J24" s="7" t="n">
        <v>1</v>
      </c>
      <c r="K24" s="7" t="n">
        <v>1</v>
      </c>
      <c r="L24" s="12" t="n"/>
      <c r="M24" s="12" t="n"/>
    </row>
    <row r="25">
      <c r="A25" s="13" t="n">
        <v>351</v>
      </c>
      <c r="B25" s="13" t="inlineStr">
        <is>
          <t>FA</t>
        </is>
      </c>
      <c r="C25" s="13" t="n">
        <v>28</v>
      </c>
      <c r="D25" s="14" t="n">
        <v>46087</v>
      </c>
      <c r="E25" s="15" t="inlineStr">
        <is>
          <t>000777819771</t>
        </is>
      </c>
      <c r="F25" s="13" t="inlineStr">
        <is>
          <t>SOCIEDAD DE PROFESIONALES INFORMATICA Y TECNOLOGIA</t>
        </is>
      </c>
      <c r="G25" s="16" t="n">
        <v>274751</v>
      </c>
      <c r="H25" s="16" t="n">
        <v>274751</v>
      </c>
      <c r="I25" s="17" t="inlineStr">
        <is>
          <t>Pagada</t>
        </is>
      </c>
      <c r="J25" s="13" t="n">
        <v>1</v>
      </c>
      <c r="K25" s="13" t="n">
        <v>1</v>
      </c>
      <c r="L25" s="12" t="n"/>
      <c r="M25" s="12" t="n"/>
    </row>
    <row r="26">
      <c r="A26" s="7" t="n">
        <v>368</v>
      </c>
      <c r="B26" s="7" t="inlineStr">
        <is>
          <t>FA</t>
        </is>
      </c>
      <c r="C26" s="7" t="n">
        <v>12539818</v>
      </c>
      <c r="D26" s="8" t="n">
        <v>46097</v>
      </c>
      <c r="E26" s="9" t="inlineStr">
        <is>
          <t>000773982201</t>
        </is>
      </c>
      <c r="F26" s="7" t="inlineStr">
        <is>
          <t>MERCADO LIBRE CHILE LTDA</t>
        </is>
      </c>
      <c r="G26" s="10" t="n">
        <v>73325</v>
      </c>
      <c r="H26" s="10" t="n">
        <v>73325</v>
      </c>
      <c r="I26" s="11" t="inlineStr">
        <is>
          <t>Pagada</t>
        </is>
      </c>
      <c r="J26" s="7" t="n">
        <v>1</v>
      </c>
      <c r="K26" s="7" t="n">
        <v>1</v>
      </c>
      <c r="L26" s="12" t="n"/>
      <c r="M26" s="12" t="n"/>
    </row>
    <row r="27">
      <c r="A27" s="13" t="n">
        <v>371</v>
      </c>
      <c r="B27" s="13" t="inlineStr">
        <is>
          <t>FA</t>
        </is>
      </c>
      <c r="C27" s="13" t="n">
        <v>6364917</v>
      </c>
      <c r="D27" s="14" t="n">
        <v>46100</v>
      </c>
      <c r="E27" s="15" t="inlineStr">
        <is>
          <t>000812908006</t>
        </is>
      </c>
      <c r="F27" s="13" t="inlineStr">
        <is>
          <t>COPEVAL</t>
        </is>
      </c>
      <c r="G27" s="16" t="n">
        <v>96643</v>
      </c>
      <c r="H27" s="16" t="n">
        <v>96643</v>
      </c>
      <c r="I27" s="17" t="inlineStr">
        <is>
          <t>Pagada</t>
        </is>
      </c>
      <c r="J27" s="13" t="n">
        <v>1</v>
      </c>
      <c r="K27" s="13" t="n">
        <v>1</v>
      </c>
      <c r="L27" s="12" t="n"/>
      <c r="M27" s="12" t="n"/>
    </row>
    <row r="28">
      <c r="A28" s="7" t="n">
        <v>373</v>
      </c>
      <c r="B28" s="7" t="inlineStr">
        <is>
          <t>FA</t>
        </is>
      </c>
      <c r="C28" s="7" t="n">
        <v>2130297</v>
      </c>
      <c r="D28" s="8" t="n">
        <v>46105</v>
      </c>
      <c r="E28" s="9" t="inlineStr">
        <is>
          <t>000885186009</t>
        </is>
      </c>
      <c r="F28" s="7" t="inlineStr">
        <is>
          <t>JOSE PUERTAS PONS Y CIA</t>
        </is>
      </c>
      <c r="G28" s="10" t="n">
        <v>23901</v>
      </c>
      <c r="H28" s="10" t="n">
        <v>23901</v>
      </c>
      <c r="I28" s="11" t="inlineStr">
        <is>
          <t>Pagada</t>
        </is>
      </c>
      <c r="J28" s="7" t="n">
        <v>1</v>
      </c>
      <c r="K28" s="7" t="n">
        <v>1</v>
      </c>
      <c r="L28" s="12" t="n"/>
      <c r="M28" s="12" t="n"/>
    </row>
    <row r="29">
      <c r="A29" s="13" t="n">
        <v>427</v>
      </c>
      <c r="B29" s="13" t="inlineStr">
        <is>
          <t>FA</t>
        </is>
      </c>
      <c r="C29" s="13" t="n">
        <v>21415</v>
      </c>
      <c r="D29" s="14" t="n">
        <v>46175</v>
      </c>
      <c r="E29" s="15" t="inlineStr">
        <is>
          <t>000969390205</t>
        </is>
      </c>
      <c r="F29" s="13" t="inlineStr">
        <is>
          <t>SEMILLAS LATINOAMERICANAS  S.A.</t>
        </is>
      </c>
      <c r="G29" s="16" t="n">
        <v>2604315</v>
      </c>
      <c r="H29" s="16" t="n">
        <v>2604315</v>
      </c>
      <c r="I29" s="17" t="inlineStr">
        <is>
          <t>Pagada</t>
        </is>
      </c>
      <c r="J29" s="13" t="n">
        <v>1</v>
      </c>
      <c r="K29" s="13" t="n">
        <v>1</v>
      </c>
      <c r="L29" s="12" t="n"/>
      <c r="M29" s="12" t="n"/>
    </row>
    <row r="30">
      <c r="A30" s="7" t="n">
        <v>445</v>
      </c>
      <c r="B30" s="7" t="inlineStr">
        <is>
          <t>FA</t>
        </is>
      </c>
      <c r="C30" s="7" t="n">
        <v>16406</v>
      </c>
      <c r="D30" s="8" t="n">
        <v>46190</v>
      </c>
      <c r="E30" s="9" t="inlineStr">
        <is>
          <t>000000760982</t>
        </is>
      </c>
      <c r="F30" s="7" t="inlineStr">
        <is>
          <t>ARMANDO GONZALO EDUARDO SANDOVAL TRONCOSO</t>
        </is>
      </c>
      <c r="G30" s="10" t="n">
        <v>4487395</v>
      </c>
      <c r="H30" s="10" t="n">
        <v>4487395</v>
      </c>
      <c r="I30" s="11" t="inlineStr">
        <is>
          <t>Pagada</t>
        </is>
      </c>
      <c r="J30" s="7" t="n">
        <v>1</v>
      </c>
      <c r="K30" s="7" t="n">
        <v>1</v>
      </c>
      <c r="L30" s="12" t="n"/>
      <c r="M30" s="12" t="n"/>
    </row>
    <row r="31">
      <c r="A31" s="13" t="n">
        <v>469</v>
      </c>
      <c r="B31" s="13" t="inlineStr">
        <is>
          <t>FA</t>
        </is>
      </c>
      <c r="C31" s="13" t="n">
        <v>611236</v>
      </c>
      <c r="D31" s="14" t="n">
        <v>46203</v>
      </c>
      <c r="E31" s="15" t="inlineStr">
        <is>
          <t>000760758329</t>
        </is>
      </c>
      <c r="F31" s="13" t="inlineStr">
        <is>
          <t>ANASAC CHILE S.A.</t>
        </is>
      </c>
      <c r="G31" s="16" t="n">
        <v>4166292</v>
      </c>
      <c r="H31" s="16" t="n">
        <v>4166292</v>
      </c>
      <c r="I31" s="17" t="inlineStr">
        <is>
          <t>Pagada</t>
        </is>
      </c>
      <c r="J31" s="13" t="n">
        <v>1</v>
      </c>
      <c r="K31" s="13" t="n">
        <v>1</v>
      </c>
      <c r="L31" s="12" t="n"/>
      <c r="M31" s="12" t="n"/>
    </row>
    <row r="32">
      <c r="A32" s="7" t="n">
        <v>467</v>
      </c>
      <c r="B32" s="7" t="inlineStr">
        <is>
          <t>FA</t>
        </is>
      </c>
      <c r="C32" s="7" t="n">
        <v>6458393</v>
      </c>
      <c r="D32" s="8" t="n">
        <v>46209</v>
      </c>
      <c r="E32" s="9" t="inlineStr">
        <is>
          <t>000812908006</t>
        </is>
      </c>
      <c r="F32" s="7" t="inlineStr">
        <is>
          <t>COPEVAL</t>
        </is>
      </c>
      <c r="G32" s="10" t="n">
        <v>19640</v>
      </c>
      <c r="H32" s="10" t="n">
        <v>19640</v>
      </c>
      <c r="I32" s="11" t="inlineStr">
        <is>
          <t>Pagada</t>
        </is>
      </c>
      <c r="J32" s="7" t="n">
        <v>1</v>
      </c>
      <c r="K32" s="7" t="n">
        <v>1</v>
      </c>
      <c r="L32" s="12" t="n"/>
      <c r="M32" s="12" t="n"/>
    </row>
    <row r="33">
      <c r="A33" s="13" t="n">
        <v>466</v>
      </c>
      <c r="B33" s="13" t="inlineStr">
        <is>
          <t>FA</t>
        </is>
      </c>
      <c r="C33" s="13" t="n">
        <v>14117873</v>
      </c>
      <c r="D33" s="14" t="n">
        <v>46209</v>
      </c>
      <c r="E33" s="15" t="inlineStr">
        <is>
          <t>000773982201</t>
        </is>
      </c>
      <c r="F33" s="13" t="inlineStr">
        <is>
          <t>MERCADO LIBRE CHILE LTDA</t>
        </is>
      </c>
      <c r="G33" s="16" t="n">
        <v>11750</v>
      </c>
      <c r="H33" s="16" t="n">
        <v>11750</v>
      </c>
      <c r="I33" s="17" t="inlineStr">
        <is>
          <t>Pagada</t>
        </is>
      </c>
      <c r="J33" s="13" t="n">
        <v>1</v>
      </c>
      <c r="K33" s="13" t="n">
        <v>1</v>
      </c>
      <c r="L33" s="12" t="n"/>
      <c r="M33" s="12" t="n"/>
    </row>
    <row r="34">
      <c r="A34" s="7" t="n">
        <v>516</v>
      </c>
      <c r="B34" s="7" t="inlineStr">
        <is>
          <t>FA</t>
        </is>
      </c>
      <c r="C34" s="7" t="n">
        <v>16468</v>
      </c>
      <c r="D34" s="8" t="n">
        <v>46213</v>
      </c>
      <c r="E34" s="9" t="inlineStr">
        <is>
          <t>000000760982</t>
        </is>
      </c>
      <c r="F34" s="7" t="inlineStr">
        <is>
          <t>ARMANDO GONZALO EDUARDO SANDOVAL TRONCOSO</t>
        </is>
      </c>
      <c r="G34" s="10" t="n">
        <v>12245814</v>
      </c>
      <c r="H34" s="10" t="n">
        <v>0</v>
      </c>
      <c r="I34" s="18" t="inlineStr">
        <is>
          <t>Pendiente</t>
        </is>
      </c>
      <c r="J34" s="7" t="n">
        <v>1</v>
      </c>
      <c r="K34" s="7" t="n">
        <v>0</v>
      </c>
      <c r="L34" s="12" t="n"/>
      <c r="M34" s="12" t="n"/>
    </row>
    <row r="35">
      <c r="A35" s="13" t="n">
        <v>488</v>
      </c>
      <c r="B35" s="13" t="inlineStr">
        <is>
          <t>FA</t>
        </is>
      </c>
      <c r="C35" s="13" t="n">
        <v>6878</v>
      </c>
      <c r="D35" s="14" t="n">
        <v>46220</v>
      </c>
      <c r="E35" s="15" t="inlineStr">
        <is>
          <t>000761301292</t>
        </is>
      </c>
      <c r="F35" s="13" t="inlineStr">
        <is>
          <t>CUSTOM SEEDS S.A.</t>
        </is>
      </c>
      <c r="G35" s="16" t="n">
        <v>561680</v>
      </c>
      <c r="H35" s="16" t="n">
        <v>561680</v>
      </c>
      <c r="I35" s="17" t="inlineStr">
        <is>
          <t>Pagada</t>
        </is>
      </c>
      <c r="J35" s="13" t="n">
        <v>1</v>
      </c>
      <c r="K35" s="13" t="n">
        <v>1</v>
      </c>
      <c r="L35" s="12" t="n"/>
      <c r="M35" s="12" t="n"/>
    </row>
    <row r="36">
      <c r="A36" s="7" t="n">
        <v>492</v>
      </c>
      <c r="B36" s="7" t="inlineStr">
        <is>
          <t>FA</t>
        </is>
      </c>
      <c r="C36" s="7" t="n">
        <v>6478152</v>
      </c>
      <c r="D36" s="8" t="n">
        <v>46225</v>
      </c>
      <c r="E36" s="9" t="inlineStr">
        <is>
          <t>000812908006</t>
        </is>
      </c>
      <c r="F36" s="7" t="inlineStr">
        <is>
          <t>COPEVAL</t>
        </is>
      </c>
      <c r="G36" s="10" t="n">
        <v>724531</v>
      </c>
      <c r="H36" s="10" t="n">
        <v>0</v>
      </c>
      <c r="I36" s="18" t="inlineStr">
        <is>
          <t>Pendiente</t>
        </is>
      </c>
      <c r="J36" s="7" t="n">
        <v>1</v>
      </c>
      <c r="K36" s="7" t="n">
        <v>0</v>
      </c>
      <c r="L36" s="12" t="n"/>
      <c r="M36" s="12" t="n"/>
    </row>
    <row r="37">
      <c r="A37" s="13" t="n">
        <v>509</v>
      </c>
      <c r="B37" s="13" t="inlineStr">
        <is>
          <t>FA</t>
        </is>
      </c>
      <c r="C37" s="13" t="n">
        <v>1349436</v>
      </c>
      <c r="D37" s="14" t="n">
        <v>46226</v>
      </c>
      <c r="E37" s="15" t="inlineStr">
        <is>
          <t>000760332135</t>
        </is>
      </c>
      <c r="F37" s="13" t="inlineStr">
        <is>
          <t>EMPRESA DE TRANSPORTE VARMONTT LIMITADA</t>
        </is>
      </c>
      <c r="G37" s="16" t="n">
        <v>31080</v>
      </c>
      <c r="H37" s="16" t="n">
        <v>31080</v>
      </c>
      <c r="I37" s="17" t="inlineStr">
        <is>
          <t>Pagada</t>
        </is>
      </c>
      <c r="J37" s="13" t="n">
        <v>1</v>
      </c>
      <c r="K37" s="13" t="n">
        <v>1</v>
      </c>
      <c r="L37" s="12" t="n"/>
      <c r="M37" s="12" t="n"/>
    </row>
    <row r="38">
      <c r="A38" s="7" t="n">
        <v>532</v>
      </c>
      <c r="B38" s="7" t="inlineStr">
        <is>
          <t>FA</t>
        </is>
      </c>
      <c r="C38" s="7" t="n">
        <v>346143</v>
      </c>
      <c r="D38" s="8" t="n">
        <v>46239</v>
      </c>
      <c r="E38" s="9" t="inlineStr">
        <is>
          <t>000779519104</t>
        </is>
      </c>
      <c r="F38" s="7" t="inlineStr">
        <is>
          <t>SOC. COM. DIAZ Y ARENAS LIMITADA</t>
        </is>
      </c>
      <c r="G38" s="10" t="n">
        <v>38210</v>
      </c>
      <c r="H38" s="10" t="n">
        <v>38210</v>
      </c>
      <c r="I38" s="11" t="inlineStr">
        <is>
          <t>Pagada</t>
        </is>
      </c>
      <c r="J38" s="7" t="n">
        <v>1</v>
      </c>
      <c r="K38" s="7" t="n">
        <v>1</v>
      </c>
      <c r="L38" s="12" t="n"/>
      <c r="M38" s="12" t="n"/>
    </row>
    <row r="39">
      <c r="A39" s="13" t="n">
        <v>545</v>
      </c>
      <c r="B39" s="13" t="inlineStr">
        <is>
          <t>FA</t>
        </is>
      </c>
      <c r="C39" s="13" t="n">
        <v>6493977</v>
      </c>
      <c r="D39" s="14" t="n">
        <v>46241</v>
      </c>
      <c r="E39" s="15" t="inlineStr">
        <is>
          <t>000812908006</t>
        </is>
      </c>
      <c r="F39" s="13" t="inlineStr">
        <is>
          <t>COPEVAL</t>
        </is>
      </c>
      <c r="G39" s="16" t="n">
        <v>60000</v>
      </c>
      <c r="H39" s="16" t="n">
        <v>0</v>
      </c>
      <c r="I39" s="19" t="inlineStr">
        <is>
          <t>Pendiente</t>
        </is>
      </c>
      <c r="J39" s="13" t="n">
        <v>1</v>
      </c>
      <c r="K39" s="13" t="n">
        <v>0</v>
      </c>
      <c r="L39" s="12" t="n"/>
      <c r="M39" s="12" t="n"/>
    </row>
    <row r="40">
      <c r="A40" s="7" t="n">
        <v>531</v>
      </c>
      <c r="B40" s="7" t="inlineStr">
        <is>
          <t>FA</t>
        </is>
      </c>
      <c r="C40" s="7" t="n">
        <v>16509</v>
      </c>
      <c r="D40" s="8" t="n">
        <v>46244</v>
      </c>
      <c r="E40" s="9" t="inlineStr">
        <is>
          <t>000000760982</t>
        </is>
      </c>
      <c r="F40" s="7" t="inlineStr">
        <is>
          <t>ARMANDO GONZALO EDUARDO SANDOVAL TRONCOSO</t>
        </is>
      </c>
      <c r="G40" s="10" t="n">
        <v>2281278</v>
      </c>
      <c r="H40" s="10" t="n">
        <v>0</v>
      </c>
      <c r="I40" s="18" t="inlineStr">
        <is>
          <t>Pendiente</t>
        </is>
      </c>
      <c r="J40" s="7" t="n">
        <v>1</v>
      </c>
      <c r="K40" s="7" t="n">
        <v>0</v>
      </c>
      <c r="L40" s="12" t="n"/>
      <c r="M40" s="12" t="n"/>
    </row>
    <row r="41">
      <c r="A41" s="13" t="n">
        <v>530</v>
      </c>
      <c r="B41" s="13" t="inlineStr">
        <is>
          <t>FA</t>
        </is>
      </c>
      <c r="C41" s="13" t="n">
        <v>21646</v>
      </c>
      <c r="D41" s="14" t="n">
        <v>46244</v>
      </c>
      <c r="E41" s="15" t="inlineStr">
        <is>
          <t>000969390205</t>
        </is>
      </c>
      <c r="F41" s="13" t="inlineStr">
        <is>
          <t>SEMILLAS LATINOAMERICANAS  S.A.</t>
        </is>
      </c>
      <c r="G41" s="16" t="n">
        <v>1021913</v>
      </c>
      <c r="H41" s="16" t="n">
        <v>0</v>
      </c>
      <c r="I41" s="19" t="inlineStr">
        <is>
          <t>Pendiente</t>
        </is>
      </c>
      <c r="J41" s="13" t="n">
        <v>1</v>
      </c>
      <c r="K41" s="13" t="n">
        <v>0</v>
      </c>
      <c r="L41" s="12" t="n"/>
      <c r="M41" s="12" t="n"/>
    </row>
    <row r="42">
      <c r="A42" s="7" t="n">
        <v>549</v>
      </c>
      <c r="B42" s="7" t="inlineStr">
        <is>
          <t>FA</t>
        </is>
      </c>
      <c r="C42" s="7" t="n">
        <v>6494087</v>
      </c>
      <c r="D42" s="8" t="n">
        <v>46244</v>
      </c>
      <c r="E42" s="9" t="inlineStr">
        <is>
          <t>000812908006</t>
        </is>
      </c>
      <c r="F42" s="7" t="inlineStr">
        <is>
          <t>COPEVAL</t>
        </is>
      </c>
      <c r="G42" s="10" t="n">
        <v>1995035</v>
      </c>
      <c r="H42" s="10" t="n">
        <v>0</v>
      </c>
      <c r="I42" s="18" t="inlineStr">
        <is>
          <t>Pendiente</t>
        </is>
      </c>
      <c r="J42" s="7" t="n">
        <v>1</v>
      </c>
      <c r="K42" s="7" t="n">
        <v>0</v>
      </c>
      <c r="L42" s="12" t="n"/>
      <c r="M42" s="12" t="n"/>
    </row>
    <row r="43">
      <c r="A43" s="13" t="n">
        <v>555</v>
      </c>
      <c r="B43" s="13" t="inlineStr">
        <is>
          <t>FA</t>
        </is>
      </c>
      <c r="C43" s="13" t="n">
        <v>6494354</v>
      </c>
      <c r="D43" s="14" t="n">
        <v>46246</v>
      </c>
      <c r="E43" s="15" t="inlineStr">
        <is>
          <t>000812908006</t>
        </is>
      </c>
      <c r="F43" s="13" t="inlineStr">
        <is>
          <t>COPEVAL</t>
        </is>
      </c>
      <c r="G43" s="16" t="n">
        <v>672350</v>
      </c>
      <c r="H43" s="16" t="n">
        <v>672350</v>
      </c>
      <c r="I43" s="17" t="inlineStr">
        <is>
          <t>Pagada</t>
        </is>
      </c>
      <c r="J43" s="13" t="n">
        <v>1</v>
      </c>
      <c r="K43" s="13" t="n">
        <v>1</v>
      </c>
      <c r="L43" s="12" t="n"/>
      <c r="M43" s="12" t="n"/>
    </row>
    <row r="44">
      <c r="A44" s="7" t="n">
        <v>599</v>
      </c>
      <c r="B44" s="7" t="inlineStr">
        <is>
          <t>FA</t>
        </is>
      </c>
      <c r="C44" s="7" t="n">
        <v>6972</v>
      </c>
      <c r="D44" s="8" t="n">
        <v>46255</v>
      </c>
      <c r="E44" s="9" t="inlineStr">
        <is>
          <t>000761301292</t>
        </is>
      </c>
      <c r="F44" s="7" t="inlineStr">
        <is>
          <t>CUSTOM SEEDS S.A.</t>
        </is>
      </c>
      <c r="G44" s="10" t="n">
        <v>1487500</v>
      </c>
      <c r="H44" s="10" t="n">
        <v>0</v>
      </c>
      <c r="I44" s="18" t="inlineStr">
        <is>
          <t>Pendiente</t>
        </is>
      </c>
      <c r="J44" s="7" t="n">
        <v>1</v>
      </c>
      <c r="K44" s="7" t="n">
        <v>0</v>
      </c>
      <c r="L44" s="12" t="n"/>
      <c r="M44" s="12" t="n"/>
    </row>
    <row r="45">
      <c r="A45" s="13" t="n">
        <v>579</v>
      </c>
      <c r="B45" s="13" t="inlineStr">
        <is>
          <t>FA</t>
        </is>
      </c>
      <c r="C45" s="13" t="n">
        <v>6534101</v>
      </c>
      <c r="D45" s="14" t="n">
        <v>46274</v>
      </c>
      <c r="E45" s="15" t="inlineStr">
        <is>
          <t>000812908006</t>
        </is>
      </c>
      <c r="F45" s="13" t="inlineStr">
        <is>
          <t>COPEVAL</t>
        </is>
      </c>
      <c r="G45" s="16" t="n">
        <v>545372</v>
      </c>
      <c r="H45" s="16" t="n">
        <v>0</v>
      </c>
      <c r="I45" s="19" t="inlineStr">
        <is>
          <t>Pendiente</t>
        </is>
      </c>
      <c r="J45" s="13" t="n">
        <v>1</v>
      </c>
      <c r="K45" s="13" t="n">
        <v>0</v>
      </c>
      <c r="L45" s="12" t="n"/>
      <c r="M45" s="12" t="n"/>
    </row>
    <row r="47">
      <c r="F47" s="20" t="inlineStr">
        <is>
          <t>TOTAL</t>
        </is>
      </c>
      <c r="G47" s="21">
        <f>SUM(G8:G45)</f>
        <v/>
      </c>
      <c r="H47" s="21">
        <f>SUM(H8:H45)</f>
        <v/>
      </c>
    </row>
  </sheetData>
  <autoFilter ref="A7:M45"/>
  <mergeCells count="3">
    <mergeCell ref="A2:M2"/>
    <mergeCell ref="A1:M1"/>
    <mergeCell ref="A5:M5"/>
  </mergeCells>
  <printOptions horizontalCentered="1"/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2026-10-13T14:37:24Z</dcterms:created>
  <dcterms:modified xsi:type="dcterms:W3CDTF">2026-10-13T14:37:25Z</dcterms:modified>
</cp:coreProperties>
</file>